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ered\Desktop\"/>
    </mc:Choice>
  </mc:AlternateContent>
  <xr:revisionPtr revIDLastSave="0" documentId="13_ncr:1_{A413EDFD-3CF6-45DC-B89C-8B268C3FC8A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校内" sheetId="1" r:id="rId1"/>
    <sheet name="校外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2" l="1"/>
  <c r="L27" i="2"/>
  <c r="K27" i="2"/>
  <c r="J27" i="2"/>
  <c r="I27" i="2"/>
  <c r="G27" i="2"/>
  <c r="H27" i="2"/>
  <c r="F27" i="2"/>
  <c r="N26" i="2"/>
  <c r="L26" i="2"/>
  <c r="K26" i="2"/>
  <c r="J26" i="2"/>
  <c r="I26" i="2"/>
  <c r="G26" i="2"/>
  <c r="H26" i="2"/>
  <c r="F26" i="2"/>
  <c r="N34" i="1"/>
  <c r="N33" i="1"/>
  <c r="L33" i="1"/>
  <c r="K33" i="1"/>
  <c r="J33" i="1"/>
  <c r="I33" i="1"/>
  <c r="G33" i="1"/>
  <c r="H33" i="1"/>
  <c r="F33" i="1"/>
  <c r="L34" i="1"/>
  <c r="K34" i="1"/>
  <c r="J34" i="1"/>
  <c r="I34" i="1"/>
  <c r="G34" i="1"/>
  <c r="H34" i="1"/>
  <c r="F34" i="1"/>
  <c r="G25" i="2"/>
  <c r="H25" i="2"/>
  <c r="I25" i="2"/>
  <c r="J25" i="2"/>
  <c r="K25" i="2"/>
  <c r="L25" i="2"/>
  <c r="M25" i="2"/>
  <c r="F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G32" i="1"/>
  <c r="H32" i="1"/>
  <c r="I32" i="1"/>
  <c r="J32" i="1"/>
  <c r="K32" i="1"/>
  <c r="L32" i="1"/>
  <c r="M32" i="1"/>
  <c r="F32" i="1"/>
  <c r="N31" i="1"/>
  <c r="N39" i="1"/>
  <c r="N38" i="1"/>
  <c r="N37" i="1"/>
  <c r="N36" i="1"/>
  <c r="N35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32" i="1" s="1"/>
  <c r="N25" i="2" l="1"/>
</calcChain>
</file>

<file path=xl/sharedStrings.xml><?xml version="1.0" encoding="utf-8"?>
<sst xmlns="http://schemas.openxmlformats.org/spreadsheetml/2006/main" count="264" uniqueCount="134">
  <si>
    <t>2025年江高镇中考成绩统计表</t>
  </si>
  <si>
    <t>序号</t>
  </si>
  <si>
    <t>考号</t>
  </si>
  <si>
    <t>姓名</t>
  </si>
  <si>
    <t>学校</t>
  </si>
  <si>
    <t>片镇</t>
  </si>
  <si>
    <t>语文</t>
  </si>
  <si>
    <t>数学</t>
  </si>
  <si>
    <t>英语</t>
  </si>
  <si>
    <t>道法</t>
  </si>
  <si>
    <t>历史</t>
  </si>
  <si>
    <t>物理</t>
  </si>
  <si>
    <t>化学</t>
  </si>
  <si>
    <t>体育</t>
  </si>
  <si>
    <t>总分</t>
  </si>
  <si>
    <t>0111770001</t>
  </si>
  <si>
    <t>李紫梦</t>
  </si>
  <si>
    <t>广州市白云区珠江中学</t>
  </si>
  <si>
    <t>江高</t>
  </si>
  <si>
    <t>0111770002</t>
  </si>
  <si>
    <t>刘士琦</t>
  </si>
  <si>
    <t>0111770004</t>
  </si>
  <si>
    <t>谢铭宇</t>
  </si>
  <si>
    <t>0111770005</t>
  </si>
  <si>
    <t>黄文妍</t>
  </si>
  <si>
    <t>0111770006</t>
  </si>
  <si>
    <t>张思雨</t>
  </si>
  <si>
    <t>0111770007</t>
  </si>
  <si>
    <t>唐博承</t>
  </si>
  <si>
    <t>0111770008</t>
  </si>
  <si>
    <t>周士柠</t>
  </si>
  <si>
    <t>0111770009</t>
  </si>
  <si>
    <t>姚昱秀</t>
  </si>
  <si>
    <t>0111770011</t>
  </si>
  <si>
    <t>莫诗晨</t>
  </si>
  <si>
    <t>0111770012</t>
  </si>
  <si>
    <t>吴靖荞</t>
  </si>
  <si>
    <t>0111770013</t>
  </si>
  <si>
    <t>张文姗</t>
  </si>
  <si>
    <t>0111770014</t>
  </si>
  <si>
    <t>吴卓颖</t>
  </si>
  <si>
    <t>0111770015</t>
  </si>
  <si>
    <t>宋妤熙</t>
  </si>
  <si>
    <t>0111770016</t>
  </si>
  <si>
    <t>黄卓锴</t>
  </si>
  <si>
    <t>0111770017</t>
  </si>
  <si>
    <t>黄彦烨</t>
  </si>
  <si>
    <t>0111770018</t>
  </si>
  <si>
    <t>李振宇</t>
  </si>
  <si>
    <t>0111770019</t>
  </si>
  <si>
    <t>陈鹏宇</t>
  </si>
  <si>
    <t>0111770020</t>
  </si>
  <si>
    <t>韩沛欣</t>
  </si>
  <si>
    <t>0111770021</t>
  </si>
  <si>
    <t>涂德晟</t>
  </si>
  <si>
    <t>0111770022</t>
  </si>
  <si>
    <t>罗悦为</t>
  </si>
  <si>
    <t>0111770023</t>
  </si>
  <si>
    <t>黄兆基</t>
  </si>
  <si>
    <t>0111770024</t>
  </si>
  <si>
    <t>刘祖宏</t>
  </si>
  <si>
    <t>0111770025</t>
  </si>
  <si>
    <t>鄂梓骁</t>
  </si>
  <si>
    <t>0111770026</t>
  </si>
  <si>
    <t>李佳梁</t>
  </si>
  <si>
    <t>0111770027</t>
  </si>
  <si>
    <t>朱钰琪</t>
  </si>
  <si>
    <t>0111770028</t>
  </si>
  <si>
    <t>姚峻彬</t>
  </si>
  <si>
    <t>0111770029</t>
  </si>
  <si>
    <t>王林</t>
  </si>
  <si>
    <t>0111770030</t>
  </si>
  <si>
    <t>潘晓敏</t>
  </si>
  <si>
    <t>0111770031</t>
  </si>
  <si>
    <t>潘晓洁</t>
  </si>
  <si>
    <t>0111770032</t>
  </si>
  <si>
    <t>龙私琴</t>
  </si>
  <si>
    <t>0111770033</t>
  </si>
  <si>
    <t>谭睿</t>
  </si>
  <si>
    <t>0111770034</t>
  </si>
  <si>
    <t>谢承渝</t>
  </si>
  <si>
    <t>0111770035</t>
  </si>
  <si>
    <t>麦颖琪</t>
  </si>
  <si>
    <t>0111770036</t>
  </si>
  <si>
    <t>赵桐嘉</t>
  </si>
  <si>
    <t>0111770037</t>
  </si>
  <si>
    <t>李佳进</t>
  </si>
  <si>
    <t>0111770038</t>
  </si>
  <si>
    <t>石佳颖</t>
  </si>
  <si>
    <t>0111770039</t>
  </si>
  <si>
    <t>唐静思</t>
  </si>
  <si>
    <t>0111770040</t>
  </si>
  <si>
    <t>欧淼英</t>
  </si>
  <si>
    <t>0111770042</t>
  </si>
  <si>
    <t>廖诗宇</t>
  </si>
  <si>
    <t>0111770043</t>
  </si>
  <si>
    <t>朱天河</t>
  </si>
  <si>
    <t>0111770044</t>
  </si>
  <si>
    <t>石俊熙</t>
  </si>
  <si>
    <t>0111770045</t>
  </si>
  <si>
    <t>罗心彤</t>
  </si>
  <si>
    <t>0111770046</t>
  </si>
  <si>
    <t>刘凯</t>
  </si>
  <si>
    <t>0111770047</t>
  </si>
  <si>
    <t>黄晓鹏</t>
  </si>
  <si>
    <t>0111770048</t>
  </si>
  <si>
    <t>陈浩民</t>
  </si>
  <si>
    <t>0111770049</t>
  </si>
  <si>
    <t>蔡衍霖</t>
  </si>
  <si>
    <t>0111770050</t>
  </si>
  <si>
    <t>潘宝琳</t>
  </si>
  <si>
    <t>0111770051</t>
  </si>
  <si>
    <t>明青依</t>
  </si>
  <si>
    <t>0111770052</t>
  </si>
  <si>
    <t>欧锦城</t>
  </si>
  <si>
    <t>0111770053</t>
  </si>
  <si>
    <t>张学演</t>
  </si>
  <si>
    <t>0111770054</t>
  </si>
  <si>
    <t>范瑞鑫</t>
  </si>
  <si>
    <t>0111770055</t>
  </si>
  <si>
    <t>罗渝洪</t>
  </si>
  <si>
    <t>0111770056</t>
  </si>
  <si>
    <t>王凯</t>
  </si>
  <si>
    <t>0111770057</t>
  </si>
  <si>
    <t>刘挺佳</t>
  </si>
  <si>
    <t>0111770058</t>
  </si>
  <si>
    <t>郭子涵</t>
  </si>
  <si>
    <t>0111770059</t>
  </si>
  <si>
    <t>张耀方</t>
  </si>
  <si>
    <t>0111770060</t>
  </si>
  <si>
    <t>谭宇轩</t>
  </si>
  <si>
    <t>平均分</t>
    <phoneticPr fontId="1" type="noConversion"/>
  </si>
  <si>
    <t>及格人数</t>
    <phoneticPr fontId="1" type="noConversion"/>
  </si>
  <si>
    <t>高分人数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</si>
</sst>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2"/>
      <color theme="1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16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0" fillId="0" borderId="0" xfId="0" applyNumberFormat="1"/>
    <xf numFmtId="0" fontId="6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opLeftCell="A18" workbookViewId="0">
      <selection activeCell="B41" sqref="B41"/>
    </sheetView>
  </sheetViews>
  <sheetFormatPr defaultRowHeight="13.8" x14ac:dyDescent="0.25"/>
  <cols>
    <col min="1" max="1" width="10.77734375" bestFit="1" customWidth="1"/>
    <col min="2" max="2" width="15.88671875" customWidth="1"/>
    <col min="3" max="3" width="8.21875" bestFit="1" customWidth="1"/>
    <col min="4" max="4" width="23.33203125" customWidth="1"/>
    <col min="5" max="5" width="6.21875" bestFit="1" customWidth="1"/>
    <col min="6" max="6" width="9.5546875" customWidth="1"/>
    <col min="7" max="13" width="9.5546875" bestFit="1" customWidth="1"/>
    <col min="14" max="14" width="11.21875" bestFit="1" customWidth="1"/>
  </cols>
  <sheetData>
    <row r="1" spans="1:16" ht="17.39999999999999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6" ht="15.6" x14ac:dyDescent="0.25">
      <c r="A2" s="9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</row>
    <row r="3" spans="1:16" ht="15.6" x14ac:dyDescent="0.25">
      <c r="A3" s="3">
        <v>1</v>
      </c>
      <c r="B3" s="3" t="s">
        <v>15</v>
      </c>
      <c r="C3" s="4" t="s">
        <v>16</v>
      </c>
      <c r="D3" s="4" t="s">
        <v>17</v>
      </c>
      <c r="E3" s="4" t="s">
        <v>18</v>
      </c>
      <c r="F3" s="5">
        <v>71</v>
      </c>
      <c r="G3" s="5">
        <v>38</v>
      </c>
      <c r="H3" s="5">
        <v>64</v>
      </c>
      <c r="I3" s="5">
        <v>55</v>
      </c>
      <c r="J3" s="5">
        <v>49</v>
      </c>
      <c r="K3" s="5">
        <v>53</v>
      </c>
      <c r="L3" s="5">
        <v>60</v>
      </c>
      <c r="M3" s="5">
        <v>70</v>
      </c>
      <c r="N3" s="1">
        <f>SUM(F3:M3)</f>
        <v>460</v>
      </c>
    </row>
    <row r="4" spans="1:16" ht="15.6" x14ac:dyDescent="0.25">
      <c r="A4" s="3">
        <v>2</v>
      </c>
      <c r="B4" s="3" t="s">
        <v>65</v>
      </c>
      <c r="C4" s="4" t="s">
        <v>66</v>
      </c>
      <c r="D4" s="4" t="s">
        <v>17</v>
      </c>
      <c r="E4" s="4" t="s">
        <v>18</v>
      </c>
      <c r="F4" s="2">
        <v>87</v>
      </c>
      <c r="G4" s="2">
        <v>36</v>
      </c>
      <c r="H4" s="2">
        <v>55</v>
      </c>
      <c r="I4" s="2">
        <v>60</v>
      </c>
      <c r="J4" s="2">
        <v>50</v>
      </c>
      <c r="K4" s="2">
        <v>57</v>
      </c>
      <c r="L4" s="2">
        <v>49</v>
      </c>
      <c r="M4" s="2">
        <v>69</v>
      </c>
      <c r="N4" s="1">
        <f t="shared" ref="N4:N30" si="0">SUM(F4:M4)</f>
        <v>463</v>
      </c>
    </row>
    <row r="5" spans="1:16" ht="15.6" x14ac:dyDescent="0.25">
      <c r="A5" s="3">
        <v>3</v>
      </c>
      <c r="B5" s="3" t="s">
        <v>67</v>
      </c>
      <c r="C5" s="4" t="s">
        <v>68</v>
      </c>
      <c r="D5" s="4" t="s">
        <v>17</v>
      </c>
      <c r="E5" s="4" t="s">
        <v>18</v>
      </c>
      <c r="F5" s="2">
        <v>76</v>
      </c>
      <c r="G5" s="2">
        <v>58</v>
      </c>
      <c r="H5" s="2">
        <v>25</v>
      </c>
      <c r="I5" s="2">
        <v>51</v>
      </c>
      <c r="J5" s="2">
        <v>54</v>
      </c>
      <c r="K5" s="2">
        <v>69</v>
      </c>
      <c r="L5" s="2">
        <v>67</v>
      </c>
      <c r="M5" s="2">
        <v>69</v>
      </c>
      <c r="N5" s="1">
        <f t="shared" si="0"/>
        <v>469</v>
      </c>
    </row>
    <row r="6" spans="1:16" ht="15.6" x14ac:dyDescent="0.25">
      <c r="A6" s="3">
        <v>4</v>
      </c>
      <c r="B6" s="3" t="s">
        <v>69</v>
      </c>
      <c r="C6" s="4" t="s">
        <v>70</v>
      </c>
      <c r="D6" s="4" t="s">
        <v>17</v>
      </c>
      <c r="E6" s="4" t="s">
        <v>18</v>
      </c>
      <c r="F6" s="2">
        <v>84</v>
      </c>
      <c r="G6" s="2">
        <v>66</v>
      </c>
      <c r="H6" s="2">
        <v>35</v>
      </c>
      <c r="I6" s="2">
        <v>52</v>
      </c>
      <c r="J6" s="2">
        <v>66</v>
      </c>
      <c r="K6" s="2">
        <v>84</v>
      </c>
      <c r="L6" s="2">
        <v>77</v>
      </c>
      <c r="M6" s="2">
        <v>69</v>
      </c>
      <c r="N6" s="1">
        <f t="shared" si="0"/>
        <v>533</v>
      </c>
    </row>
    <row r="7" spans="1:16" ht="15.6" x14ac:dyDescent="0.25">
      <c r="A7" s="3">
        <v>5</v>
      </c>
      <c r="B7" s="3" t="s">
        <v>71</v>
      </c>
      <c r="C7" s="4" t="s">
        <v>72</v>
      </c>
      <c r="D7" s="4" t="s">
        <v>17</v>
      </c>
      <c r="E7" s="4" t="s">
        <v>18</v>
      </c>
      <c r="F7" s="2">
        <v>76</v>
      </c>
      <c r="G7" s="2">
        <v>55</v>
      </c>
      <c r="H7" s="2">
        <v>34</v>
      </c>
      <c r="I7" s="2">
        <v>54</v>
      </c>
      <c r="J7" s="2">
        <v>54</v>
      </c>
      <c r="K7" s="2">
        <v>68</v>
      </c>
      <c r="L7" s="2">
        <v>66</v>
      </c>
      <c r="M7" s="2">
        <v>68</v>
      </c>
      <c r="N7" s="1">
        <f t="shared" si="0"/>
        <v>475</v>
      </c>
      <c r="P7" s="8"/>
    </row>
    <row r="8" spans="1:16" ht="15.6" x14ac:dyDescent="0.25">
      <c r="A8" s="3">
        <v>6</v>
      </c>
      <c r="B8" s="3" t="s">
        <v>73</v>
      </c>
      <c r="C8" s="4" t="s">
        <v>74</v>
      </c>
      <c r="D8" s="4" t="s">
        <v>17</v>
      </c>
      <c r="E8" s="4" t="s">
        <v>18</v>
      </c>
      <c r="F8" s="2">
        <v>82</v>
      </c>
      <c r="G8" s="2">
        <v>50</v>
      </c>
      <c r="H8" s="2">
        <v>50</v>
      </c>
      <c r="I8" s="2">
        <v>63</v>
      </c>
      <c r="J8" s="2">
        <v>46</v>
      </c>
      <c r="K8" s="2">
        <v>58</v>
      </c>
      <c r="L8" s="2">
        <v>66</v>
      </c>
      <c r="M8" s="2">
        <v>67</v>
      </c>
      <c r="N8" s="1">
        <f t="shared" si="0"/>
        <v>482</v>
      </c>
    </row>
    <row r="9" spans="1:16" ht="15.6" x14ac:dyDescent="0.25">
      <c r="A9" s="3">
        <v>7</v>
      </c>
      <c r="B9" s="3" t="s">
        <v>75</v>
      </c>
      <c r="C9" s="4" t="s">
        <v>76</v>
      </c>
      <c r="D9" s="4" t="s">
        <v>17</v>
      </c>
      <c r="E9" s="4" t="s">
        <v>18</v>
      </c>
      <c r="F9" s="2">
        <v>78</v>
      </c>
      <c r="G9" s="2">
        <v>41</v>
      </c>
      <c r="H9" s="2">
        <v>59</v>
      </c>
      <c r="I9" s="2">
        <v>50</v>
      </c>
      <c r="J9" s="2">
        <v>41</v>
      </c>
      <c r="K9" s="2">
        <v>49</v>
      </c>
      <c r="L9" s="2">
        <v>53</v>
      </c>
      <c r="M9" s="2">
        <v>68</v>
      </c>
      <c r="N9" s="1">
        <f t="shared" si="0"/>
        <v>439</v>
      </c>
    </row>
    <row r="10" spans="1:16" ht="15.6" x14ac:dyDescent="0.25">
      <c r="A10" s="3">
        <v>8</v>
      </c>
      <c r="B10" s="3" t="s">
        <v>77</v>
      </c>
      <c r="C10" s="4" t="s">
        <v>78</v>
      </c>
      <c r="D10" s="4" t="s">
        <v>17</v>
      </c>
      <c r="E10" s="4" t="s">
        <v>18</v>
      </c>
      <c r="F10" s="2">
        <v>78</v>
      </c>
      <c r="G10" s="2">
        <v>76</v>
      </c>
      <c r="H10" s="2">
        <v>79</v>
      </c>
      <c r="I10" s="2">
        <v>56</v>
      </c>
      <c r="J10" s="2">
        <v>53</v>
      </c>
      <c r="K10" s="2">
        <v>87</v>
      </c>
      <c r="L10" s="2">
        <v>81</v>
      </c>
      <c r="M10" s="2">
        <v>70</v>
      </c>
      <c r="N10" s="1">
        <f t="shared" si="0"/>
        <v>580</v>
      </c>
    </row>
    <row r="11" spans="1:16" ht="15.6" x14ac:dyDescent="0.25">
      <c r="A11" s="3">
        <v>9</v>
      </c>
      <c r="B11" s="3" t="s">
        <v>79</v>
      </c>
      <c r="C11" s="4" t="s">
        <v>80</v>
      </c>
      <c r="D11" s="4" t="s">
        <v>17</v>
      </c>
      <c r="E11" s="4" t="s">
        <v>18</v>
      </c>
      <c r="F11" s="2">
        <v>84</v>
      </c>
      <c r="G11" s="2">
        <v>89</v>
      </c>
      <c r="H11" s="2">
        <v>25</v>
      </c>
      <c r="I11" s="2">
        <v>40</v>
      </c>
      <c r="J11" s="2">
        <v>47</v>
      </c>
      <c r="K11" s="2">
        <v>84</v>
      </c>
      <c r="L11" s="2">
        <v>64</v>
      </c>
      <c r="M11" s="2">
        <v>69</v>
      </c>
      <c r="N11" s="1">
        <f t="shared" si="0"/>
        <v>502</v>
      </c>
    </row>
    <row r="12" spans="1:16" ht="15.6" x14ac:dyDescent="0.25">
      <c r="A12" s="3">
        <v>10</v>
      </c>
      <c r="B12" s="3" t="s">
        <v>81</v>
      </c>
      <c r="C12" s="4" t="s">
        <v>82</v>
      </c>
      <c r="D12" s="4" t="s">
        <v>17</v>
      </c>
      <c r="E12" s="4" t="s">
        <v>18</v>
      </c>
      <c r="F12" s="2">
        <v>100</v>
      </c>
      <c r="G12" s="2">
        <v>98</v>
      </c>
      <c r="H12" s="2">
        <v>72</v>
      </c>
      <c r="I12" s="2">
        <v>60</v>
      </c>
      <c r="J12" s="2">
        <v>77</v>
      </c>
      <c r="K12" s="2">
        <v>87</v>
      </c>
      <c r="L12" s="2">
        <v>77</v>
      </c>
      <c r="M12" s="2">
        <v>66</v>
      </c>
      <c r="N12" s="1">
        <f t="shared" si="0"/>
        <v>637</v>
      </c>
    </row>
    <row r="13" spans="1:16" ht="15.6" x14ac:dyDescent="0.25">
      <c r="A13" s="3">
        <v>11</v>
      </c>
      <c r="B13" s="3" t="s">
        <v>83</v>
      </c>
      <c r="C13" s="4" t="s">
        <v>84</v>
      </c>
      <c r="D13" s="4" t="s">
        <v>17</v>
      </c>
      <c r="E13" s="4" t="s">
        <v>18</v>
      </c>
      <c r="F13" s="2">
        <v>87</v>
      </c>
      <c r="G13" s="2">
        <v>78</v>
      </c>
      <c r="H13" s="2">
        <v>79</v>
      </c>
      <c r="I13" s="2">
        <v>54</v>
      </c>
      <c r="J13" s="2">
        <v>58</v>
      </c>
      <c r="K13" s="2">
        <v>62</v>
      </c>
      <c r="L13" s="2">
        <v>72</v>
      </c>
      <c r="M13" s="2">
        <v>68</v>
      </c>
      <c r="N13" s="1">
        <f t="shared" si="0"/>
        <v>558</v>
      </c>
    </row>
    <row r="14" spans="1:16" ht="15.6" x14ac:dyDescent="0.25">
      <c r="A14" s="3">
        <v>12</v>
      </c>
      <c r="B14" s="3" t="s">
        <v>85</v>
      </c>
      <c r="C14" s="4" t="s">
        <v>86</v>
      </c>
      <c r="D14" s="4" t="s">
        <v>17</v>
      </c>
      <c r="E14" s="4" t="s">
        <v>18</v>
      </c>
      <c r="F14" s="2">
        <v>64</v>
      </c>
      <c r="G14" s="2">
        <v>52</v>
      </c>
      <c r="H14" s="2">
        <v>35</v>
      </c>
      <c r="I14" s="2">
        <v>41</v>
      </c>
      <c r="J14" s="2">
        <v>36</v>
      </c>
      <c r="K14" s="2">
        <v>39</v>
      </c>
      <c r="L14" s="2">
        <v>34</v>
      </c>
      <c r="M14" s="2">
        <v>64</v>
      </c>
      <c r="N14" s="1">
        <f t="shared" si="0"/>
        <v>365</v>
      </c>
    </row>
    <row r="15" spans="1:16" ht="15.6" x14ac:dyDescent="0.25">
      <c r="A15" s="3">
        <v>13</v>
      </c>
      <c r="B15" s="3" t="s">
        <v>87</v>
      </c>
      <c r="C15" s="4" t="s">
        <v>88</v>
      </c>
      <c r="D15" s="4" t="s">
        <v>17</v>
      </c>
      <c r="E15" s="4" t="s">
        <v>18</v>
      </c>
      <c r="F15" s="2">
        <v>84</v>
      </c>
      <c r="G15" s="2">
        <v>52</v>
      </c>
      <c r="H15" s="2">
        <v>45</v>
      </c>
      <c r="I15" s="2">
        <v>50</v>
      </c>
      <c r="J15" s="2">
        <v>42</v>
      </c>
      <c r="K15" s="2">
        <v>48</v>
      </c>
      <c r="L15" s="2">
        <v>53</v>
      </c>
      <c r="M15" s="2">
        <v>66</v>
      </c>
      <c r="N15" s="1">
        <f t="shared" si="0"/>
        <v>440</v>
      </c>
    </row>
    <row r="16" spans="1:16" ht="15.6" x14ac:dyDescent="0.25">
      <c r="A16" s="3">
        <v>14</v>
      </c>
      <c r="B16" s="3" t="s">
        <v>89</v>
      </c>
      <c r="C16" s="4" t="s">
        <v>90</v>
      </c>
      <c r="D16" s="4" t="s">
        <v>17</v>
      </c>
      <c r="E16" s="4" t="s">
        <v>18</v>
      </c>
      <c r="F16" s="2">
        <v>71</v>
      </c>
      <c r="G16" s="2">
        <v>45</v>
      </c>
      <c r="H16" s="2">
        <v>57</v>
      </c>
      <c r="I16" s="2">
        <v>46</v>
      </c>
      <c r="J16" s="2">
        <v>50</v>
      </c>
      <c r="K16" s="2">
        <v>49</v>
      </c>
      <c r="L16" s="2">
        <v>53</v>
      </c>
      <c r="M16" s="2">
        <v>70</v>
      </c>
      <c r="N16" s="1">
        <f t="shared" si="0"/>
        <v>441</v>
      </c>
    </row>
    <row r="17" spans="1:15" ht="15.6" x14ac:dyDescent="0.25">
      <c r="A17" s="3">
        <v>15</v>
      </c>
      <c r="B17" s="3" t="s">
        <v>91</v>
      </c>
      <c r="C17" s="4" t="s">
        <v>92</v>
      </c>
      <c r="D17" s="4" t="s">
        <v>17</v>
      </c>
      <c r="E17" s="4" t="s">
        <v>18</v>
      </c>
      <c r="F17" s="2">
        <v>76</v>
      </c>
      <c r="G17" s="2">
        <v>59</v>
      </c>
      <c r="H17" s="2">
        <v>32</v>
      </c>
      <c r="I17" s="2">
        <v>47</v>
      </c>
      <c r="J17" s="2">
        <v>54</v>
      </c>
      <c r="K17" s="2">
        <v>64</v>
      </c>
      <c r="L17" s="2">
        <v>54</v>
      </c>
      <c r="M17" s="2">
        <v>67</v>
      </c>
      <c r="N17" s="1">
        <f t="shared" si="0"/>
        <v>453</v>
      </c>
    </row>
    <row r="18" spans="1:15" ht="15.6" x14ac:dyDescent="0.25">
      <c r="A18" s="3">
        <v>16</v>
      </c>
      <c r="B18" s="3" t="s">
        <v>93</v>
      </c>
      <c r="C18" s="4" t="s">
        <v>94</v>
      </c>
      <c r="D18" s="4" t="s">
        <v>17</v>
      </c>
      <c r="E18" s="4" t="s">
        <v>18</v>
      </c>
      <c r="F18" s="2">
        <v>76</v>
      </c>
      <c r="G18" s="2">
        <v>29</v>
      </c>
      <c r="H18" s="2">
        <v>75</v>
      </c>
      <c r="I18" s="2">
        <v>49</v>
      </c>
      <c r="J18" s="2">
        <v>49</v>
      </c>
      <c r="K18" s="2">
        <v>50</v>
      </c>
      <c r="L18" s="2">
        <v>42</v>
      </c>
      <c r="M18" s="2">
        <v>62</v>
      </c>
      <c r="N18" s="1">
        <f t="shared" si="0"/>
        <v>432</v>
      </c>
    </row>
    <row r="19" spans="1:15" ht="15.6" x14ac:dyDescent="0.25">
      <c r="A19" s="3">
        <v>17</v>
      </c>
      <c r="B19" s="3" t="s">
        <v>95</v>
      </c>
      <c r="C19" s="4" t="s">
        <v>96</v>
      </c>
      <c r="D19" s="4" t="s">
        <v>17</v>
      </c>
      <c r="E19" s="4" t="s">
        <v>18</v>
      </c>
      <c r="F19" s="2">
        <v>75</v>
      </c>
      <c r="G19" s="2">
        <v>73</v>
      </c>
      <c r="H19" s="2">
        <v>41</v>
      </c>
      <c r="I19" s="2">
        <v>42</v>
      </c>
      <c r="J19" s="2">
        <v>52</v>
      </c>
      <c r="K19" s="2">
        <v>76</v>
      </c>
      <c r="L19" s="2">
        <v>69</v>
      </c>
      <c r="M19" s="2">
        <v>70</v>
      </c>
      <c r="N19" s="1">
        <f t="shared" si="0"/>
        <v>498</v>
      </c>
    </row>
    <row r="20" spans="1:15" ht="15.6" x14ac:dyDescent="0.25">
      <c r="A20" s="3">
        <v>18</v>
      </c>
      <c r="B20" s="3" t="s">
        <v>97</v>
      </c>
      <c r="C20" s="4" t="s">
        <v>98</v>
      </c>
      <c r="D20" s="4" t="s">
        <v>17</v>
      </c>
      <c r="E20" s="4" t="s">
        <v>18</v>
      </c>
      <c r="F20" s="2">
        <v>76</v>
      </c>
      <c r="G20" s="2">
        <v>76</v>
      </c>
      <c r="H20" s="2">
        <v>27</v>
      </c>
      <c r="I20" s="2">
        <v>46</v>
      </c>
      <c r="J20" s="2">
        <v>48</v>
      </c>
      <c r="K20" s="2">
        <v>68</v>
      </c>
      <c r="L20" s="2">
        <v>88</v>
      </c>
      <c r="M20" s="2">
        <v>70</v>
      </c>
      <c r="N20" s="1">
        <f t="shared" si="0"/>
        <v>499</v>
      </c>
    </row>
    <row r="21" spans="1:15" ht="15.6" x14ac:dyDescent="0.25">
      <c r="A21" s="3">
        <v>19</v>
      </c>
      <c r="B21" s="3" t="s">
        <v>99</v>
      </c>
      <c r="C21" s="4" t="s">
        <v>100</v>
      </c>
      <c r="D21" s="4" t="s">
        <v>17</v>
      </c>
      <c r="E21" s="4" t="s">
        <v>18</v>
      </c>
      <c r="F21" s="2">
        <v>87</v>
      </c>
      <c r="G21" s="2">
        <v>71</v>
      </c>
      <c r="H21" s="2">
        <v>49</v>
      </c>
      <c r="I21" s="2">
        <v>43</v>
      </c>
      <c r="J21" s="2">
        <v>49</v>
      </c>
      <c r="K21" s="2">
        <v>57</v>
      </c>
      <c r="L21" s="2">
        <v>52</v>
      </c>
      <c r="M21" s="2">
        <v>64</v>
      </c>
      <c r="N21" s="1">
        <f t="shared" si="0"/>
        <v>472</v>
      </c>
    </row>
    <row r="22" spans="1:15" ht="15.6" x14ac:dyDescent="0.25">
      <c r="A22" s="3">
        <v>20</v>
      </c>
      <c r="B22" s="3" t="s">
        <v>101</v>
      </c>
      <c r="C22" s="4" t="s">
        <v>102</v>
      </c>
      <c r="D22" s="4" t="s">
        <v>17</v>
      </c>
      <c r="E22" s="4" t="s">
        <v>18</v>
      </c>
      <c r="F22" s="2">
        <v>70</v>
      </c>
      <c r="G22" s="2">
        <v>76</v>
      </c>
      <c r="H22" s="2">
        <v>59</v>
      </c>
      <c r="I22" s="2">
        <v>60</v>
      </c>
      <c r="J22" s="2">
        <v>65</v>
      </c>
      <c r="K22" s="2">
        <v>85</v>
      </c>
      <c r="L22" s="2">
        <v>79</v>
      </c>
      <c r="M22" s="2">
        <v>70</v>
      </c>
      <c r="N22" s="1">
        <f t="shared" si="0"/>
        <v>564</v>
      </c>
    </row>
    <row r="23" spans="1:15" ht="15.6" x14ac:dyDescent="0.25">
      <c r="A23" s="3">
        <v>21</v>
      </c>
      <c r="B23" s="3" t="s">
        <v>103</v>
      </c>
      <c r="C23" s="4" t="s">
        <v>104</v>
      </c>
      <c r="D23" s="4" t="s">
        <v>17</v>
      </c>
      <c r="E23" s="4" t="s">
        <v>18</v>
      </c>
      <c r="F23" s="2">
        <v>92</v>
      </c>
      <c r="G23" s="2">
        <v>95</v>
      </c>
      <c r="H23" s="2">
        <v>78</v>
      </c>
      <c r="I23" s="2">
        <v>52</v>
      </c>
      <c r="J23" s="2">
        <v>70</v>
      </c>
      <c r="K23" s="2">
        <v>88</v>
      </c>
      <c r="L23" s="2">
        <v>89</v>
      </c>
      <c r="M23" s="2">
        <v>69</v>
      </c>
      <c r="N23" s="1">
        <f t="shared" si="0"/>
        <v>633</v>
      </c>
    </row>
    <row r="24" spans="1:15" ht="15.6" x14ac:dyDescent="0.25">
      <c r="A24" s="3">
        <v>22</v>
      </c>
      <c r="B24" s="3" t="s">
        <v>105</v>
      </c>
      <c r="C24" s="4" t="s">
        <v>106</v>
      </c>
      <c r="D24" s="4" t="s">
        <v>17</v>
      </c>
      <c r="E24" s="4" t="s">
        <v>18</v>
      </c>
      <c r="F24" s="2">
        <v>69</v>
      </c>
      <c r="G24" s="2">
        <v>94</v>
      </c>
      <c r="H24" s="2">
        <v>53</v>
      </c>
      <c r="I24" s="2">
        <v>57</v>
      </c>
      <c r="J24" s="2">
        <v>40</v>
      </c>
      <c r="K24" s="2">
        <v>90</v>
      </c>
      <c r="L24" s="2">
        <v>64</v>
      </c>
      <c r="M24" s="2">
        <v>69</v>
      </c>
      <c r="N24" s="1">
        <f t="shared" si="0"/>
        <v>536</v>
      </c>
    </row>
    <row r="25" spans="1:15" ht="15.6" x14ac:dyDescent="0.25">
      <c r="A25" s="3">
        <v>23</v>
      </c>
      <c r="B25" s="3" t="s">
        <v>107</v>
      </c>
      <c r="C25" s="4" t="s">
        <v>108</v>
      </c>
      <c r="D25" s="4" t="s">
        <v>17</v>
      </c>
      <c r="E25" s="4" t="s">
        <v>18</v>
      </c>
      <c r="F25" s="2">
        <v>53</v>
      </c>
      <c r="G25" s="2">
        <v>16</v>
      </c>
      <c r="H25" s="2">
        <v>21</v>
      </c>
      <c r="I25" s="2">
        <v>43</v>
      </c>
      <c r="J25" s="2">
        <v>40</v>
      </c>
      <c r="K25" s="2">
        <v>43</v>
      </c>
      <c r="L25" s="2">
        <v>37</v>
      </c>
      <c r="M25" s="2">
        <v>70</v>
      </c>
      <c r="N25" s="1">
        <f t="shared" si="0"/>
        <v>323</v>
      </c>
    </row>
    <row r="26" spans="1:15" ht="15.6" x14ac:dyDescent="0.25">
      <c r="A26" s="3">
        <v>24</v>
      </c>
      <c r="B26" s="3" t="s">
        <v>109</v>
      </c>
      <c r="C26" s="4" t="s">
        <v>110</v>
      </c>
      <c r="D26" s="4" t="s">
        <v>17</v>
      </c>
      <c r="E26" s="4" t="s">
        <v>18</v>
      </c>
      <c r="F26" s="2">
        <v>92</v>
      </c>
      <c r="G26" s="2">
        <v>44</v>
      </c>
      <c r="H26" s="2">
        <v>75</v>
      </c>
      <c r="I26" s="2">
        <v>51</v>
      </c>
      <c r="J26" s="2">
        <v>38</v>
      </c>
      <c r="K26" s="2">
        <v>55</v>
      </c>
      <c r="L26" s="2">
        <v>51</v>
      </c>
      <c r="M26" s="2">
        <v>56</v>
      </c>
      <c r="N26" s="1">
        <f t="shared" si="0"/>
        <v>462</v>
      </c>
    </row>
    <row r="27" spans="1:15" ht="15.6" x14ac:dyDescent="0.25">
      <c r="A27" s="3">
        <v>25</v>
      </c>
      <c r="B27" s="3" t="s">
        <v>111</v>
      </c>
      <c r="C27" s="4" t="s">
        <v>112</v>
      </c>
      <c r="D27" s="4" t="s">
        <v>17</v>
      </c>
      <c r="E27" s="4" t="s">
        <v>18</v>
      </c>
      <c r="F27" s="2">
        <v>83</v>
      </c>
      <c r="G27" s="2">
        <v>39</v>
      </c>
      <c r="H27" s="2">
        <v>58</v>
      </c>
      <c r="I27" s="2">
        <v>52</v>
      </c>
      <c r="J27" s="2">
        <v>61</v>
      </c>
      <c r="K27" s="2">
        <v>55</v>
      </c>
      <c r="L27" s="2">
        <v>61</v>
      </c>
      <c r="M27" s="2">
        <v>63</v>
      </c>
      <c r="N27" s="1">
        <f t="shared" si="0"/>
        <v>472</v>
      </c>
    </row>
    <row r="28" spans="1:15" ht="15.6" x14ac:dyDescent="0.25">
      <c r="A28" s="3">
        <v>26</v>
      </c>
      <c r="B28" s="3" t="s">
        <v>113</v>
      </c>
      <c r="C28" s="4" t="s">
        <v>114</v>
      </c>
      <c r="D28" s="4" t="s">
        <v>17</v>
      </c>
      <c r="E28" s="4" t="s">
        <v>18</v>
      </c>
      <c r="F28" s="2">
        <v>42</v>
      </c>
      <c r="G28" s="2">
        <v>21</v>
      </c>
      <c r="H28" s="2">
        <v>29</v>
      </c>
      <c r="I28" s="2">
        <v>42</v>
      </c>
      <c r="J28" s="2">
        <v>45</v>
      </c>
      <c r="K28" s="2">
        <v>29</v>
      </c>
      <c r="L28" s="2">
        <v>41</v>
      </c>
      <c r="M28" s="2">
        <v>54</v>
      </c>
      <c r="N28" s="1">
        <f t="shared" si="0"/>
        <v>303</v>
      </c>
    </row>
    <row r="29" spans="1:15" ht="15.6" x14ac:dyDescent="0.25">
      <c r="A29" s="3">
        <v>27</v>
      </c>
      <c r="B29" s="3" t="s">
        <v>115</v>
      </c>
      <c r="C29" s="4" t="s">
        <v>116</v>
      </c>
      <c r="D29" s="4" t="s">
        <v>17</v>
      </c>
      <c r="E29" s="4" t="s">
        <v>18</v>
      </c>
      <c r="F29" s="2">
        <v>71</v>
      </c>
      <c r="G29" s="2">
        <v>25</v>
      </c>
      <c r="H29" s="2">
        <v>15</v>
      </c>
      <c r="I29" s="2">
        <v>44</v>
      </c>
      <c r="J29" s="2">
        <v>53</v>
      </c>
      <c r="K29" s="2">
        <v>46</v>
      </c>
      <c r="L29" s="2">
        <v>50</v>
      </c>
      <c r="M29" s="2">
        <v>49</v>
      </c>
      <c r="N29" s="1">
        <f t="shared" si="0"/>
        <v>353</v>
      </c>
    </row>
    <row r="30" spans="1:15" ht="15.6" x14ac:dyDescent="0.25">
      <c r="A30" s="3">
        <v>28</v>
      </c>
      <c r="B30" s="3" t="s">
        <v>117</v>
      </c>
      <c r="C30" s="4" t="s">
        <v>118</v>
      </c>
      <c r="D30" s="4" t="s">
        <v>17</v>
      </c>
      <c r="E30" s="4" t="s">
        <v>18</v>
      </c>
      <c r="F30" s="2">
        <v>75</v>
      </c>
      <c r="G30" s="2">
        <v>26</v>
      </c>
      <c r="H30" s="2">
        <v>27</v>
      </c>
      <c r="I30" s="2">
        <v>38</v>
      </c>
      <c r="J30" s="2">
        <v>51</v>
      </c>
      <c r="K30" s="2">
        <v>24</v>
      </c>
      <c r="L30" s="2">
        <v>35</v>
      </c>
      <c r="M30" s="2">
        <v>60</v>
      </c>
      <c r="N30" s="1">
        <f t="shared" si="0"/>
        <v>336</v>
      </c>
    </row>
    <row r="31" spans="1:15" ht="15.6" x14ac:dyDescent="0.25">
      <c r="A31" s="3">
        <v>29</v>
      </c>
      <c r="B31" s="3" t="s">
        <v>129</v>
      </c>
      <c r="C31" s="4" t="s">
        <v>130</v>
      </c>
      <c r="D31" s="4" t="s">
        <v>17</v>
      </c>
      <c r="E31" s="4" t="s">
        <v>18</v>
      </c>
      <c r="F31" s="2">
        <v>63</v>
      </c>
      <c r="G31" s="2">
        <v>77</v>
      </c>
      <c r="H31" s="2">
        <v>49</v>
      </c>
      <c r="I31" s="2">
        <v>38</v>
      </c>
      <c r="J31" s="2">
        <v>45</v>
      </c>
      <c r="K31" s="2">
        <v>83</v>
      </c>
      <c r="L31" s="2">
        <v>66</v>
      </c>
      <c r="M31" s="2">
        <v>63</v>
      </c>
      <c r="N31" s="1">
        <f>SUM(F31:M31)</f>
        <v>484</v>
      </c>
    </row>
    <row r="32" spans="1:15" ht="20.399999999999999" x14ac:dyDescent="0.3">
      <c r="A32" s="13" t="s">
        <v>131</v>
      </c>
      <c r="B32" s="13"/>
      <c r="C32" s="13"/>
      <c r="D32" s="13"/>
      <c r="E32" s="13"/>
      <c r="F32" s="16">
        <f>AVERAGE(F3:F31)</f>
        <v>76.620689655172413</v>
      </c>
      <c r="G32" s="16">
        <f t="shared" ref="G32:M32" si="1">AVERAGE(G3:G31)</f>
        <v>57.068965517241381</v>
      </c>
      <c r="H32" s="16">
        <f t="shared" si="1"/>
        <v>48.344827586206897</v>
      </c>
      <c r="I32" s="16">
        <f t="shared" si="1"/>
        <v>49.517241379310342</v>
      </c>
      <c r="J32" s="16">
        <f t="shared" si="1"/>
        <v>51.137931034482762</v>
      </c>
      <c r="K32" s="16">
        <f t="shared" si="1"/>
        <v>62.310344827586206</v>
      </c>
      <c r="L32" s="16">
        <f t="shared" si="1"/>
        <v>60.344827586206897</v>
      </c>
      <c r="M32" s="16">
        <f t="shared" si="1"/>
        <v>65.827586206896555</v>
      </c>
      <c r="N32" s="16">
        <f>AVERAGE(N3:N31)</f>
        <v>471.17241379310343</v>
      </c>
      <c r="O32" s="7"/>
    </row>
    <row r="33" spans="1:14" ht="20.399999999999999" x14ac:dyDescent="0.25">
      <c r="A33" s="14" t="s">
        <v>133</v>
      </c>
      <c r="B33" s="14"/>
      <c r="C33" s="14"/>
      <c r="D33" s="14"/>
      <c r="E33" s="14"/>
      <c r="F33" s="11">
        <f>COUNTIF(F3:F31,"&gt;=102")</f>
        <v>0</v>
      </c>
      <c r="G33" s="11">
        <f t="shared" ref="G33:H33" si="2">COUNTIF(G3:G31,"&gt;=102")</f>
        <v>0</v>
      </c>
      <c r="H33" s="11">
        <f t="shared" si="2"/>
        <v>0</v>
      </c>
      <c r="I33" s="11">
        <f>COUNTIF(I3:I31,"&gt;=76.5")</f>
        <v>0</v>
      </c>
      <c r="J33" s="11">
        <f>COUNTIF(J3:J31,"&gt;=76.5")</f>
        <v>1</v>
      </c>
      <c r="K33" s="11">
        <f>COUNTIF(K3:K31,"&gt;=85")</f>
        <v>5</v>
      </c>
      <c r="L33" s="11">
        <f>COUNTIF(L3:L31,"&gt;=85")</f>
        <v>2</v>
      </c>
      <c r="M33" s="11"/>
      <c r="N33" s="11">
        <f>COUNTIF(N3:N31,"&gt;=688.5")</f>
        <v>0</v>
      </c>
    </row>
    <row r="34" spans="1:14" ht="20.399999999999999" x14ac:dyDescent="0.25">
      <c r="A34" s="14" t="s">
        <v>132</v>
      </c>
      <c r="B34" s="14"/>
      <c r="C34" s="14"/>
      <c r="D34" s="14"/>
      <c r="E34" s="14"/>
      <c r="F34" s="11">
        <f>COUNTIF(F3:F31,"&gt;=72")</f>
        <v>20</v>
      </c>
      <c r="G34" s="11">
        <f t="shared" ref="G34:H34" si="3">COUNTIF(G3:G31,"&gt;=72")</f>
        <v>10</v>
      </c>
      <c r="H34" s="11">
        <f t="shared" si="3"/>
        <v>6</v>
      </c>
      <c r="I34" s="11">
        <f>COUNTIF(I3:I31,"&gt;=54")</f>
        <v>9</v>
      </c>
      <c r="J34" s="11">
        <f>COUNTIF(J3:J31,"&gt;=54")</f>
        <v>9</v>
      </c>
      <c r="K34" s="11">
        <f>COUNTIF(K3:K31,"&gt;=60")</f>
        <v>14</v>
      </c>
      <c r="L34" s="11">
        <f>COUNTIF(L3:L31,"&gt;=60")</f>
        <v>16</v>
      </c>
      <c r="M34" s="11"/>
      <c r="N34" s="11">
        <f>COUNTIF(N3:N31,"&gt;=486")</f>
        <v>10</v>
      </c>
    </row>
    <row r="35" spans="1:14" ht="15.6" x14ac:dyDescent="0.25">
      <c r="A35" s="3">
        <v>30</v>
      </c>
      <c r="B35" s="3" t="s">
        <v>119</v>
      </c>
      <c r="C35" s="4" t="s">
        <v>120</v>
      </c>
      <c r="D35" s="4" t="s">
        <v>17</v>
      </c>
      <c r="E35" s="4" t="s">
        <v>18</v>
      </c>
      <c r="F35" s="2"/>
      <c r="G35" s="2"/>
      <c r="H35" s="2"/>
      <c r="I35" s="2"/>
      <c r="J35" s="2"/>
      <c r="K35" s="2"/>
      <c r="L35" s="2"/>
      <c r="M35" s="2"/>
      <c r="N35" s="1">
        <f>SUM(F35:M35)</f>
        <v>0</v>
      </c>
    </row>
    <row r="36" spans="1:14" ht="15.6" x14ac:dyDescent="0.25">
      <c r="A36" s="3">
        <v>31</v>
      </c>
      <c r="B36" s="3" t="s">
        <v>121</v>
      </c>
      <c r="C36" s="4" t="s">
        <v>122</v>
      </c>
      <c r="D36" s="4" t="s">
        <v>17</v>
      </c>
      <c r="E36" s="4" t="s">
        <v>18</v>
      </c>
      <c r="F36" s="2"/>
      <c r="G36" s="2"/>
      <c r="H36" s="2"/>
      <c r="I36" s="2"/>
      <c r="J36" s="2"/>
      <c r="K36" s="2"/>
      <c r="L36" s="2"/>
      <c r="M36" s="2"/>
      <c r="N36" s="1">
        <f>SUM(F36:M36)</f>
        <v>0</v>
      </c>
    </row>
    <row r="37" spans="1:14" ht="15.6" x14ac:dyDescent="0.25">
      <c r="A37" s="3">
        <v>32</v>
      </c>
      <c r="B37" s="3" t="s">
        <v>123</v>
      </c>
      <c r="C37" s="4" t="s">
        <v>124</v>
      </c>
      <c r="D37" s="4" t="s">
        <v>17</v>
      </c>
      <c r="E37" s="4" t="s">
        <v>18</v>
      </c>
      <c r="F37" s="2"/>
      <c r="G37" s="2"/>
      <c r="H37" s="2"/>
      <c r="I37" s="2"/>
      <c r="J37" s="2"/>
      <c r="K37" s="2"/>
      <c r="L37" s="2"/>
      <c r="M37" s="2"/>
      <c r="N37" s="1">
        <f>SUM(F37:M37)</f>
        <v>0</v>
      </c>
    </row>
    <row r="38" spans="1:14" ht="15.6" x14ac:dyDescent="0.25">
      <c r="A38" s="3">
        <v>33</v>
      </c>
      <c r="B38" s="3" t="s">
        <v>125</v>
      </c>
      <c r="C38" s="4" t="s">
        <v>126</v>
      </c>
      <c r="D38" s="4" t="s">
        <v>17</v>
      </c>
      <c r="E38" s="4" t="s">
        <v>18</v>
      </c>
      <c r="F38" s="2"/>
      <c r="G38" s="2"/>
      <c r="H38" s="2"/>
      <c r="I38" s="2"/>
      <c r="J38" s="2"/>
      <c r="K38" s="2"/>
      <c r="L38" s="2"/>
      <c r="M38" s="2"/>
      <c r="N38" s="1">
        <f>SUM(F38:M38)</f>
        <v>0</v>
      </c>
    </row>
    <row r="39" spans="1:14" ht="15.6" x14ac:dyDescent="0.25">
      <c r="A39" s="3">
        <v>34</v>
      </c>
      <c r="B39" s="3" t="s">
        <v>127</v>
      </c>
      <c r="C39" s="4" t="s">
        <v>128</v>
      </c>
      <c r="D39" s="4" t="s">
        <v>17</v>
      </c>
      <c r="E39" s="4" t="s">
        <v>18</v>
      </c>
      <c r="F39" s="2"/>
      <c r="G39" s="2"/>
      <c r="H39" s="2"/>
      <c r="I39" s="2"/>
      <c r="J39" s="2"/>
      <c r="K39" s="2"/>
      <c r="L39" s="2"/>
      <c r="M39" s="2"/>
      <c r="N39" s="1">
        <f>SUM(F39:M39)</f>
        <v>0</v>
      </c>
    </row>
  </sheetData>
  <mergeCells count="4">
    <mergeCell ref="A1:N1"/>
    <mergeCell ref="A32:E32"/>
    <mergeCell ref="A33:E33"/>
    <mergeCell ref="A34:E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2DFF-FF0B-4D2A-A752-E46B11FAB616}">
  <dimension ref="A1:N28"/>
  <sheetViews>
    <sheetView tabSelected="1" topLeftCell="A7" workbookViewId="0">
      <selection activeCell="B34" sqref="B34"/>
    </sheetView>
  </sheetViews>
  <sheetFormatPr defaultRowHeight="13.8" x14ac:dyDescent="0.25"/>
  <cols>
    <col min="2" max="2" width="15.21875" customWidth="1"/>
    <col min="4" max="4" width="24.6640625" customWidth="1"/>
    <col min="6" max="6" width="8.88671875" customWidth="1"/>
    <col min="7" max="13" width="9.109375" bestFit="1" customWidth="1"/>
    <col min="14" max="14" width="10.109375" bestFit="1" customWidth="1"/>
  </cols>
  <sheetData>
    <row r="1" spans="1:14" ht="17.399999999999999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6" x14ac:dyDescent="0.25">
      <c r="A2" s="9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2" t="s">
        <v>14</v>
      </c>
    </row>
    <row r="3" spans="1:14" ht="15.6" x14ac:dyDescent="0.25">
      <c r="A3" s="3">
        <v>1</v>
      </c>
      <c r="B3" s="3" t="s">
        <v>19</v>
      </c>
      <c r="C3" s="4" t="s">
        <v>20</v>
      </c>
      <c r="D3" s="4" t="s">
        <v>17</v>
      </c>
      <c r="E3" s="4" t="s">
        <v>18</v>
      </c>
      <c r="F3" s="2">
        <v>70</v>
      </c>
      <c r="G3" s="2">
        <v>79</v>
      </c>
      <c r="H3" s="2">
        <v>38</v>
      </c>
      <c r="I3" s="2">
        <v>46</v>
      </c>
      <c r="J3" s="2">
        <v>63</v>
      </c>
      <c r="K3" s="2">
        <v>67</v>
      </c>
      <c r="L3" s="2">
        <v>71</v>
      </c>
      <c r="M3" s="2">
        <v>70</v>
      </c>
      <c r="N3" s="1">
        <f t="shared" ref="N3:N24" si="0">SUM(F3:M3)</f>
        <v>504</v>
      </c>
    </row>
    <row r="4" spans="1:14" ht="15.6" x14ac:dyDescent="0.25">
      <c r="A4" s="3">
        <v>2</v>
      </c>
      <c r="B4" s="3" t="s">
        <v>21</v>
      </c>
      <c r="C4" s="4" t="s">
        <v>22</v>
      </c>
      <c r="D4" s="4" t="s">
        <v>17</v>
      </c>
      <c r="E4" s="4" t="s">
        <v>18</v>
      </c>
      <c r="F4" s="2">
        <v>75</v>
      </c>
      <c r="G4" s="2">
        <v>62</v>
      </c>
      <c r="H4" s="2">
        <v>42</v>
      </c>
      <c r="I4" s="2">
        <v>67</v>
      </c>
      <c r="J4" s="2">
        <v>61</v>
      </c>
      <c r="K4" s="2">
        <v>52</v>
      </c>
      <c r="L4" s="2">
        <v>64</v>
      </c>
      <c r="M4" s="2">
        <v>70</v>
      </c>
      <c r="N4" s="1">
        <f t="shared" si="0"/>
        <v>493</v>
      </c>
    </row>
    <row r="5" spans="1:14" ht="15.6" x14ac:dyDescent="0.25">
      <c r="A5" s="3">
        <v>3</v>
      </c>
      <c r="B5" s="3" t="s">
        <v>23</v>
      </c>
      <c r="C5" s="4" t="s">
        <v>24</v>
      </c>
      <c r="D5" s="4" t="s">
        <v>17</v>
      </c>
      <c r="E5" s="4" t="s">
        <v>18</v>
      </c>
      <c r="F5" s="2">
        <v>92</v>
      </c>
      <c r="G5" s="2">
        <v>34</v>
      </c>
      <c r="H5" s="2">
        <v>54</v>
      </c>
      <c r="I5" s="2">
        <v>55</v>
      </c>
      <c r="J5" s="2">
        <v>53</v>
      </c>
      <c r="K5" s="2">
        <v>57</v>
      </c>
      <c r="L5" s="2">
        <v>55</v>
      </c>
      <c r="M5" s="2">
        <v>69</v>
      </c>
      <c r="N5" s="1">
        <f t="shared" si="0"/>
        <v>469</v>
      </c>
    </row>
    <row r="6" spans="1:14" ht="15.6" x14ac:dyDescent="0.25">
      <c r="A6" s="3">
        <v>4</v>
      </c>
      <c r="B6" s="3" t="s">
        <v>27</v>
      </c>
      <c r="C6" s="4" t="s">
        <v>28</v>
      </c>
      <c r="D6" s="4" t="s">
        <v>17</v>
      </c>
      <c r="E6" s="4" t="s">
        <v>18</v>
      </c>
      <c r="F6" s="2">
        <v>79</v>
      </c>
      <c r="G6" s="2">
        <v>55</v>
      </c>
      <c r="H6" s="2">
        <v>41</v>
      </c>
      <c r="I6" s="2">
        <v>41</v>
      </c>
      <c r="J6" s="2">
        <v>60</v>
      </c>
      <c r="K6" s="2">
        <v>70</v>
      </c>
      <c r="L6" s="2">
        <v>67</v>
      </c>
      <c r="M6" s="2">
        <v>67</v>
      </c>
      <c r="N6" s="1">
        <f t="shared" si="0"/>
        <v>480</v>
      </c>
    </row>
    <row r="7" spans="1:14" ht="15.6" x14ac:dyDescent="0.25">
      <c r="A7" s="3">
        <v>5</v>
      </c>
      <c r="B7" s="3" t="s">
        <v>29</v>
      </c>
      <c r="C7" s="4" t="s">
        <v>30</v>
      </c>
      <c r="D7" s="4" t="s">
        <v>17</v>
      </c>
      <c r="E7" s="4" t="s">
        <v>18</v>
      </c>
      <c r="F7" s="2">
        <v>72</v>
      </c>
      <c r="G7" s="2">
        <v>33</v>
      </c>
      <c r="H7" s="2">
        <v>47</v>
      </c>
      <c r="I7" s="2">
        <v>60</v>
      </c>
      <c r="J7" s="2">
        <v>61</v>
      </c>
      <c r="K7" s="2">
        <v>50</v>
      </c>
      <c r="L7" s="2">
        <v>52</v>
      </c>
      <c r="M7" s="2">
        <v>68</v>
      </c>
      <c r="N7" s="1">
        <f t="shared" si="0"/>
        <v>443</v>
      </c>
    </row>
    <row r="8" spans="1:14" ht="15.6" x14ac:dyDescent="0.25">
      <c r="A8" s="3">
        <v>6</v>
      </c>
      <c r="B8" s="3" t="s">
        <v>31</v>
      </c>
      <c r="C8" s="4" t="s">
        <v>32</v>
      </c>
      <c r="D8" s="4" t="s">
        <v>17</v>
      </c>
      <c r="E8" s="4" t="s">
        <v>18</v>
      </c>
      <c r="F8" s="2">
        <v>78</v>
      </c>
      <c r="G8" s="2">
        <v>26</v>
      </c>
      <c r="H8" s="2">
        <v>33</v>
      </c>
      <c r="I8" s="2">
        <v>60</v>
      </c>
      <c r="J8" s="2">
        <v>65</v>
      </c>
      <c r="K8" s="2">
        <v>34</v>
      </c>
      <c r="L8" s="2">
        <v>44</v>
      </c>
      <c r="M8" s="2">
        <v>62</v>
      </c>
      <c r="N8" s="1">
        <f t="shared" si="0"/>
        <v>402</v>
      </c>
    </row>
    <row r="9" spans="1:14" ht="15.6" x14ac:dyDescent="0.25">
      <c r="A9" s="3">
        <v>7</v>
      </c>
      <c r="B9" s="3" t="s">
        <v>33</v>
      </c>
      <c r="C9" s="4" t="s">
        <v>34</v>
      </c>
      <c r="D9" s="4" t="s">
        <v>17</v>
      </c>
      <c r="E9" s="4" t="s">
        <v>18</v>
      </c>
      <c r="F9" s="1">
        <v>104</v>
      </c>
      <c r="G9" s="1">
        <v>89</v>
      </c>
      <c r="H9" s="1">
        <v>104</v>
      </c>
      <c r="I9" s="1">
        <v>81</v>
      </c>
      <c r="J9" s="1">
        <v>76</v>
      </c>
      <c r="K9" s="1">
        <v>90</v>
      </c>
      <c r="L9" s="1">
        <v>78</v>
      </c>
      <c r="M9" s="1">
        <v>68</v>
      </c>
      <c r="N9" s="1">
        <f t="shared" si="0"/>
        <v>690</v>
      </c>
    </row>
    <row r="10" spans="1:14" ht="15.6" x14ac:dyDescent="0.25">
      <c r="A10" s="3">
        <v>8</v>
      </c>
      <c r="B10" s="3" t="s">
        <v>35</v>
      </c>
      <c r="C10" s="4" t="s">
        <v>36</v>
      </c>
      <c r="D10" s="4" t="s">
        <v>17</v>
      </c>
      <c r="E10" s="4" t="s">
        <v>18</v>
      </c>
      <c r="F10" s="1">
        <v>93</v>
      </c>
      <c r="G10" s="1">
        <v>89</v>
      </c>
      <c r="H10" s="1">
        <v>101</v>
      </c>
      <c r="I10" s="1">
        <v>75</v>
      </c>
      <c r="J10" s="1">
        <v>80</v>
      </c>
      <c r="K10" s="1">
        <v>90</v>
      </c>
      <c r="L10" s="1">
        <v>90</v>
      </c>
      <c r="M10" s="1">
        <v>70</v>
      </c>
      <c r="N10" s="1">
        <f t="shared" si="0"/>
        <v>688</v>
      </c>
    </row>
    <row r="11" spans="1:14" ht="15.6" x14ac:dyDescent="0.25">
      <c r="A11" s="3">
        <v>9</v>
      </c>
      <c r="B11" s="3" t="s">
        <v>37</v>
      </c>
      <c r="C11" s="4" t="s">
        <v>38</v>
      </c>
      <c r="D11" s="4" t="s">
        <v>17</v>
      </c>
      <c r="E11" s="4" t="s">
        <v>18</v>
      </c>
      <c r="F11" s="1">
        <v>89</v>
      </c>
      <c r="G11" s="1">
        <v>93</v>
      </c>
      <c r="H11" s="1">
        <v>54</v>
      </c>
      <c r="I11" s="1">
        <v>69</v>
      </c>
      <c r="J11" s="1">
        <v>64</v>
      </c>
      <c r="K11" s="1">
        <v>89</v>
      </c>
      <c r="L11" s="1">
        <v>67</v>
      </c>
      <c r="M11" s="1">
        <v>70</v>
      </c>
      <c r="N11" s="1">
        <f t="shared" si="0"/>
        <v>595</v>
      </c>
    </row>
    <row r="12" spans="1:14" ht="15.6" x14ac:dyDescent="0.25">
      <c r="A12" s="3">
        <v>10</v>
      </c>
      <c r="B12" s="3" t="s">
        <v>39</v>
      </c>
      <c r="C12" s="4" t="s">
        <v>40</v>
      </c>
      <c r="D12" s="4" t="s">
        <v>17</v>
      </c>
      <c r="E12" s="4" t="s">
        <v>18</v>
      </c>
      <c r="F12" s="1">
        <v>81</v>
      </c>
      <c r="G12" s="1">
        <v>76</v>
      </c>
      <c r="H12" s="1">
        <v>83</v>
      </c>
      <c r="I12" s="1">
        <v>70</v>
      </c>
      <c r="J12" s="1">
        <v>54</v>
      </c>
      <c r="K12" s="1">
        <v>53</v>
      </c>
      <c r="L12" s="1">
        <v>49</v>
      </c>
      <c r="M12" s="1">
        <v>68</v>
      </c>
      <c r="N12" s="1">
        <f t="shared" si="0"/>
        <v>534</v>
      </c>
    </row>
    <row r="13" spans="1:14" ht="15.6" x14ac:dyDescent="0.25">
      <c r="A13" s="3">
        <v>11</v>
      </c>
      <c r="B13" s="3" t="s">
        <v>41</v>
      </c>
      <c r="C13" s="4" t="s">
        <v>42</v>
      </c>
      <c r="D13" s="4" t="s">
        <v>17</v>
      </c>
      <c r="E13" s="4" t="s">
        <v>18</v>
      </c>
      <c r="F13" s="1">
        <v>93</v>
      </c>
      <c r="G13" s="1">
        <v>76</v>
      </c>
      <c r="H13" s="1">
        <v>105</v>
      </c>
      <c r="I13" s="1">
        <v>72</v>
      </c>
      <c r="J13" s="1">
        <v>67</v>
      </c>
      <c r="K13" s="1">
        <v>72</v>
      </c>
      <c r="L13" s="1">
        <v>62</v>
      </c>
      <c r="M13" s="1">
        <v>70</v>
      </c>
      <c r="N13" s="1">
        <f t="shared" si="0"/>
        <v>617</v>
      </c>
    </row>
    <row r="14" spans="1:14" ht="15.6" x14ac:dyDescent="0.25">
      <c r="A14" s="3">
        <v>12</v>
      </c>
      <c r="B14" s="3" t="s">
        <v>43</v>
      </c>
      <c r="C14" s="4" t="s">
        <v>44</v>
      </c>
      <c r="D14" s="4" t="s">
        <v>17</v>
      </c>
      <c r="E14" s="4" t="s">
        <v>18</v>
      </c>
      <c r="F14" s="1">
        <v>86</v>
      </c>
      <c r="G14" s="1">
        <v>96</v>
      </c>
      <c r="H14" s="1">
        <v>106</v>
      </c>
      <c r="I14" s="1">
        <v>61</v>
      </c>
      <c r="J14" s="1">
        <v>72</v>
      </c>
      <c r="K14" s="1">
        <v>95</v>
      </c>
      <c r="L14" s="1">
        <v>89</v>
      </c>
      <c r="M14" s="1">
        <v>68</v>
      </c>
      <c r="N14" s="1">
        <f t="shared" si="0"/>
        <v>673</v>
      </c>
    </row>
    <row r="15" spans="1:14" ht="15.6" x14ac:dyDescent="0.25">
      <c r="A15" s="3">
        <v>13</v>
      </c>
      <c r="B15" s="3" t="s">
        <v>45</v>
      </c>
      <c r="C15" s="4" t="s">
        <v>46</v>
      </c>
      <c r="D15" s="4" t="s">
        <v>17</v>
      </c>
      <c r="E15" s="4" t="s">
        <v>18</v>
      </c>
      <c r="F15" s="1">
        <v>82</v>
      </c>
      <c r="G15" s="1">
        <v>103</v>
      </c>
      <c r="H15" s="1">
        <v>68</v>
      </c>
      <c r="I15" s="1">
        <v>64</v>
      </c>
      <c r="J15" s="1">
        <v>77</v>
      </c>
      <c r="K15" s="1">
        <v>89</v>
      </c>
      <c r="L15" s="1">
        <v>86</v>
      </c>
      <c r="M15" s="1">
        <v>70</v>
      </c>
      <c r="N15" s="1">
        <f t="shared" si="0"/>
        <v>639</v>
      </c>
    </row>
    <row r="16" spans="1:14" ht="15.6" x14ac:dyDescent="0.25">
      <c r="A16" s="3">
        <v>14</v>
      </c>
      <c r="B16" s="3" t="s">
        <v>47</v>
      </c>
      <c r="C16" s="4" t="s">
        <v>48</v>
      </c>
      <c r="D16" s="4" t="s">
        <v>17</v>
      </c>
      <c r="E16" s="4" t="s">
        <v>18</v>
      </c>
      <c r="F16" s="1">
        <v>76</v>
      </c>
      <c r="G16" s="1">
        <v>95</v>
      </c>
      <c r="H16" s="1">
        <v>98</v>
      </c>
      <c r="I16" s="1">
        <v>72</v>
      </c>
      <c r="J16" s="1">
        <v>60</v>
      </c>
      <c r="K16" s="1">
        <v>86</v>
      </c>
      <c r="L16" s="1">
        <v>78</v>
      </c>
      <c r="M16" s="1">
        <v>70</v>
      </c>
      <c r="N16" s="1">
        <f t="shared" si="0"/>
        <v>635</v>
      </c>
    </row>
    <row r="17" spans="1:14" ht="15.6" x14ac:dyDescent="0.25">
      <c r="A17" s="3">
        <v>15</v>
      </c>
      <c r="B17" s="3" t="s">
        <v>49</v>
      </c>
      <c r="C17" s="4" t="s">
        <v>50</v>
      </c>
      <c r="D17" s="4" t="s">
        <v>17</v>
      </c>
      <c r="E17" s="4" t="s">
        <v>18</v>
      </c>
      <c r="F17" s="1">
        <v>75</v>
      </c>
      <c r="G17" s="1">
        <v>93</v>
      </c>
      <c r="H17" s="1">
        <v>64</v>
      </c>
      <c r="I17" s="1">
        <v>45</v>
      </c>
      <c r="J17" s="1">
        <v>43</v>
      </c>
      <c r="K17" s="1">
        <v>87</v>
      </c>
      <c r="L17" s="1">
        <v>58</v>
      </c>
      <c r="M17" s="1">
        <v>70</v>
      </c>
      <c r="N17" s="1">
        <f t="shared" si="0"/>
        <v>535</v>
      </c>
    </row>
    <row r="18" spans="1:14" ht="15.6" x14ac:dyDescent="0.25">
      <c r="A18" s="3">
        <v>16</v>
      </c>
      <c r="B18" s="3" t="s">
        <v>51</v>
      </c>
      <c r="C18" s="4" t="s">
        <v>52</v>
      </c>
      <c r="D18" s="4" t="s">
        <v>17</v>
      </c>
      <c r="E18" s="4" t="s">
        <v>18</v>
      </c>
      <c r="F18" s="1">
        <v>92</v>
      </c>
      <c r="G18" s="1">
        <v>99</v>
      </c>
      <c r="H18" s="1">
        <v>106</v>
      </c>
      <c r="I18" s="1">
        <v>68</v>
      </c>
      <c r="J18" s="1">
        <v>75</v>
      </c>
      <c r="K18" s="1">
        <v>93</v>
      </c>
      <c r="L18" s="1">
        <v>80</v>
      </c>
      <c r="M18" s="1">
        <v>70</v>
      </c>
      <c r="N18" s="1">
        <f t="shared" si="0"/>
        <v>683</v>
      </c>
    </row>
    <row r="19" spans="1:14" ht="15.6" x14ac:dyDescent="0.25">
      <c r="A19" s="3">
        <v>17</v>
      </c>
      <c r="B19" s="3" t="s">
        <v>53</v>
      </c>
      <c r="C19" s="4" t="s">
        <v>54</v>
      </c>
      <c r="D19" s="4" t="s">
        <v>17</v>
      </c>
      <c r="E19" s="4" t="s">
        <v>18</v>
      </c>
      <c r="F19" s="1">
        <v>92</v>
      </c>
      <c r="G19" s="1">
        <v>98</v>
      </c>
      <c r="H19" s="1">
        <v>101</v>
      </c>
      <c r="I19" s="1">
        <v>77</v>
      </c>
      <c r="J19" s="1">
        <v>78</v>
      </c>
      <c r="K19" s="1">
        <v>85</v>
      </c>
      <c r="L19" s="1">
        <v>92</v>
      </c>
      <c r="M19" s="1">
        <v>70</v>
      </c>
      <c r="N19" s="1">
        <f t="shared" si="0"/>
        <v>693</v>
      </c>
    </row>
    <row r="20" spans="1:14" ht="15.6" x14ac:dyDescent="0.25">
      <c r="A20" s="3">
        <v>18</v>
      </c>
      <c r="B20" s="3" t="s">
        <v>55</v>
      </c>
      <c r="C20" s="4" t="s">
        <v>56</v>
      </c>
      <c r="D20" s="4" t="s">
        <v>17</v>
      </c>
      <c r="E20" s="4" t="s">
        <v>18</v>
      </c>
      <c r="F20" s="1">
        <v>80</v>
      </c>
      <c r="G20" s="1">
        <v>96</v>
      </c>
      <c r="H20" s="1">
        <v>84</v>
      </c>
      <c r="I20" s="1">
        <v>58</v>
      </c>
      <c r="J20" s="1">
        <v>77</v>
      </c>
      <c r="K20" s="1">
        <v>85</v>
      </c>
      <c r="L20" s="1">
        <v>71</v>
      </c>
      <c r="M20" s="1">
        <v>70</v>
      </c>
      <c r="N20" s="1">
        <f t="shared" si="0"/>
        <v>621</v>
      </c>
    </row>
    <row r="21" spans="1:14" ht="15.6" x14ac:dyDescent="0.25">
      <c r="A21" s="3">
        <v>19</v>
      </c>
      <c r="B21" s="3" t="s">
        <v>57</v>
      </c>
      <c r="C21" s="4" t="s">
        <v>58</v>
      </c>
      <c r="D21" s="4" t="s">
        <v>17</v>
      </c>
      <c r="E21" s="4" t="s">
        <v>18</v>
      </c>
      <c r="F21" s="1">
        <v>97</v>
      </c>
      <c r="G21" s="1">
        <v>107</v>
      </c>
      <c r="H21" s="1">
        <v>111</v>
      </c>
      <c r="I21" s="1">
        <v>72</v>
      </c>
      <c r="J21" s="1">
        <v>83</v>
      </c>
      <c r="K21" s="1">
        <v>93</v>
      </c>
      <c r="L21" s="1">
        <v>97</v>
      </c>
      <c r="M21" s="1">
        <v>70</v>
      </c>
      <c r="N21" s="1">
        <f t="shared" si="0"/>
        <v>730</v>
      </c>
    </row>
    <row r="22" spans="1:14" ht="15.6" x14ac:dyDescent="0.25">
      <c r="A22" s="3">
        <v>20</v>
      </c>
      <c r="B22" s="3" t="s">
        <v>59</v>
      </c>
      <c r="C22" s="4" t="s">
        <v>60</v>
      </c>
      <c r="D22" s="4" t="s">
        <v>17</v>
      </c>
      <c r="E22" s="4" t="s">
        <v>18</v>
      </c>
      <c r="F22" s="1">
        <v>90</v>
      </c>
      <c r="G22" s="1">
        <v>92</v>
      </c>
      <c r="H22" s="1">
        <v>92</v>
      </c>
      <c r="I22" s="1">
        <v>67</v>
      </c>
      <c r="J22" s="1">
        <v>74</v>
      </c>
      <c r="K22" s="1">
        <v>89</v>
      </c>
      <c r="L22" s="1">
        <v>81</v>
      </c>
      <c r="M22" s="1">
        <v>70</v>
      </c>
      <c r="N22" s="1">
        <f t="shared" si="0"/>
        <v>655</v>
      </c>
    </row>
    <row r="23" spans="1:14" ht="15.6" x14ac:dyDescent="0.25">
      <c r="A23" s="3">
        <v>21</v>
      </c>
      <c r="B23" s="3" t="s">
        <v>61</v>
      </c>
      <c r="C23" s="4" t="s">
        <v>62</v>
      </c>
      <c r="D23" s="4" t="s">
        <v>17</v>
      </c>
      <c r="E23" s="4" t="s">
        <v>18</v>
      </c>
      <c r="F23" s="6">
        <v>68</v>
      </c>
      <c r="G23" s="6">
        <v>48</v>
      </c>
      <c r="H23" s="6">
        <v>85</v>
      </c>
      <c r="I23" s="6">
        <v>39</v>
      </c>
      <c r="J23" s="6">
        <v>40</v>
      </c>
      <c r="K23" s="6">
        <v>59</v>
      </c>
      <c r="L23" s="6">
        <v>47</v>
      </c>
      <c r="M23" s="6">
        <v>70</v>
      </c>
      <c r="N23" s="1">
        <f t="shared" si="0"/>
        <v>456</v>
      </c>
    </row>
    <row r="24" spans="1:14" ht="15.6" x14ac:dyDescent="0.25">
      <c r="A24" s="3">
        <v>22</v>
      </c>
      <c r="B24" s="3" t="s">
        <v>63</v>
      </c>
      <c r="C24" s="4" t="s">
        <v>64</v>
      </c>
      <c r="D24" s="4" t="s">
        <v>17</v>
      </c>
      <c r="E24" s="4" t="s">
        <v>18</v>
      </c>
      <c r="F24" s="1">
        <v>84</v>
      </c>
      <c r="G24" s="1">
        <v>66</v>
      </c>
      <c r="H24" s="1">
        <v>86</v>
      </c>
      <c r="I24" s="1">
        <v>68</v>
      </c>
      <c r="J24" s="1">
        <v>58</v>
      </c>
      <c r="K24" s="1">
        <v>71</v>
      </c>
      <c r="L24" s="1">
        <v>64</v>
      </c>
      <c r="M24" s="1">
        <v>70</v>
      </c>
      <c r="N24" s="1">
        <f t="shared" si="0"/>
        <v>567</v>
      </c>
    </row>
    <row r="25" spans="1:14" ht="20.399999999999999" x14ac:dyDescent="0.3">
      <c r="A25" s="13" t="s">
        <v>131</v>
      </c>
      <c r="B25" s="13"/>
      <c r="C25" s="13"/>
      <c r="D25" s="13"/>
      <c r="E25" s="13"/>
      <c r="F25" s="15">
        <f>AVERAGE(F3:F24)</f>
        <v>84</v>
      </c>
      <c r="G25" s="15">
        <f t="shared" ref="G25:N25" si="1">AVERAGE(G3:G24)</f>
        <v>77.5</v>
      </c>
      <c r="H25" s="15">
        <f t="shared" si="1"/>
        <v>77.409090909090907</v>
      </c>
      <c r="I25" s="15">
        <f t="shared" si="1"/>
        <v>63.045454545454547</v>
      </c>
      <c r="J25" s="15">
        <f t="shared" si="1"/>
        <v>65.5</v>
      </c>
      <c r="K25" s="15">
        <f t="shared" si="1"/>
        <v>75.272727272727266</v>
      </c>
      <c r="L25" s="15">
        <f t="shared" si="1"/>
        <v>70.090909090909093</v>
      </c>
      <c r="M25" s="15">
        <f t="shared" si="1"/>
        <v>69.090909090909093</v>
      </c>
      <c r="N25" s="15">
        <f t="shared" si="1"/>
        <v>581.90909090909088</v>
      </c>
    </row>
    <row r="26" spans="1:14" ht="20.399999999999999" x14ac:dyDescent="0.25">
      <c r="A26" s="14" t="s">
        <v>133</v>
      </c>
      <c r="B26" s="14"/>
      <c r="C26" s="14"/>
      <c r="D26" s="14"/>
      <c r="E26" s="14"/>
      <c r="F26" s="11">
        <f>COUNTIF(F3:F24,"&gt;=102")</f>
        <v>1</v>
      </c>
      <c r="G26" s="11">
        <f t="shared" ref="G26:H26" si="2">COUNTIF(G3:G24,"&gt;=102")</f>
        <v>2</v>
      </c>
      <c r="H26" s="11">
        <f t="shared" si="2"/>
        <v>5</v>
      </c>
      <c r="I26" s="11">
        <f>COUNTIF(I3:I24,"&gt;=76.5")</f>
        <v>2</v>
      </c>
      <c r="J26" s="11">
        <f>COUNTIF(J3:J24,"&gt;=76.5")</f>
        <v>5</v>
      </c>
      <c r="K26" s="11">
        <f>COUNTIF(K3:K24,"&gt;=85")</f>
        <v>12</v>
      </c>
      <c r="L26" s="11">
        <f>COUNTIF(L3:L24,"&gt;=85")</f>
        <v>5</v>
      </c>
      <c r="M26" s="11"/>
      <c r="N26" s="11">
        <f>COUNTIF(N3:N24,"&gt;=688.5")</f>
        <v>3</v>
      </c>
    </row>
    <row r="27" spans="1:14" ht="20.399999999999999" x14ac:dyDescent="0.25">
      <c r="A27" s="14" t="s">
        <v>132</v>
      </c>
      <c r="B27" s="14"/>
      <c r="C27" s="14"/>
      <c r="D27" s="14"/>
      <c r="E27" s="14"/>
      <c r="F27" s="11">
        <f>COUNTIF(F3:F24,"&gt;=72")</f>
        <v>20</v>
      </c>
      <c r="G27" s="11">
        <f t="shared" ref="G27:H27" si="3">COUNTIF(G3:G24,"&gt;=72")</f>
        <v>15</v>
      </c>
      <c r="H27" s="11">
        <f t="shared" si="3"/>
        <v>13</v>
      </c>
      <c r="I27" s="11">
        <f>COUNTIF(I3:I24,"&gt;=54")</f>
        <v>18</v>
      </c>
      <c r="J27" s="11">
        <f>COUNTIF(J3:J24,"&gt;=54")</f>
        <v>19</v>
      </c>
      <c r="K27" s="11">
        <f>COUNTIF(K3:K24,"&gt;=60")</f>
        <v>16</v>
      </c>
      <c r="L27" s="11">
        <f>COUNTIF(L3:L24,"&gt;=60")</f>
        <v>16</v>
      </c>
      <c r="M27" s="11"/>
      <c r="N27" s="11">
        <f>COUNTIF(N3:N24,"&gt;=486")</f>
        <v>17</v>
      </c>
    </row>
    <row r="28" spans="1:14" ht="15.6" x14ac:dyDescent="0.25">
      <c r="A28" s="3">
        <v>23</v>
      </c>
      <c r="B28" s="3" t="s">
        <v>25</v>
      </c>
      <c r="C28" s="4" t="s">
        <v>26</v>
      </c>
      <c r="D28" s="4" t="s">
        <v>17</v>
      </c>
      <c r="E28" s="4" t="s">
        <v>18</v>
      </c>
      <c r="F28" s="2"/>
      <c r="G28" s="2"/>
      <c r="H28" s="2"/>
      <c r="I28" s="2"/>
      <c r="J28" s="2"/>
      <c r="K28" s="2"/>
      <c r="L28" s="2"/>
      <c r="M28" s="2"/>
      <c r="N28" s="1">
        <v>0</v>
      </c>
    </row>
  </sheetData>
  <mergeCells count="4">
    <mergeCell ref="A1:N1"/>
    <mergeCell ref="A25:E25"/>
    <mergeCell ref="A26:E26"/>
    <mergeCell ref="A27:E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校内</vt:lpstr>
      <vt:lpstr>校外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administered</dc:creator>
  <cp:lastModifiedBy>g 土</cp:lastModifiedBy>
  <dcterms:created xsi:type="dcterms:W3CDTF">2015-06-05T18:19:34Z</dcterms:created>
  <dcterms:modified xsi:type="dcterms:W3CDTF">2025-07-19T09:55:44Z</dcterms:modified>
</cp:coreProperties>
</file>